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440" windowHeight="11940"/>
  </bookViews>
  <sheets>
    <sheet name="욕 필터링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1"/>
  <c r="H15"/>
  <c r="I15"/>
  <c r="J15"/>
  <c r="K15"/>
  <c r="L15"/>
  <c r="M15"/>
  <c r="N15"/>
  <c r="O15"/>
  <c r="P15"/>
  <c r="Q15"/>
  <c r="R15"/>
  <c r="S15"/>
  <c r="T15"/>
  <c r="U15"/>
  <c r="V15"/>
  <c r="W15"/>
  <c r="X15"/>
  <c r="Y15"/>
  <c r="G14"/>
  <c r="H14"/>
  <c r="I14"/>
  <c r="J14"/>
  <c r="K14"/>
  <c r="L14"/>
  <c r="M14"/>
  <c r="N14"/>
  <c r="O14"/>
  <c r="P14"/>
  <c r="Q14"/>
  <c r="R14"/>
  <c r="S14"/>
  <c r="T14"/>
  <c r="U14"/>
  <c r="V14"/>
  <c r="W14"/>
  <c r="X14"/>
  <c r="Y14"/>
  <c r="F15"/>
  <c r="F14"/>
  <c r="D12" l="1"/>
  <c r="I16" s="1"/>
  <c r="I20" s="1"/>
  <c r="D13"/>
  <c r="H17" s="1"/>
  <c r="H21" s="1"/>
  <c r="J16"/>
  <c r="J20" s="1"/>
  <c r="K16"/>
  <c r="K20" s="1"/>
  <c r="N16"/>
  <c r="N20" s="1"/>
  <c r="P16"/>
  <c r="P20" s="1"/>
  <c r="S16"/>
  <c r="S20" s="1"/>
  <c r="T16"/>
  <c r="T20" s="1"/>
  <c r="W16"/>
  <c r="W20" s="1"/>
  <c r="X16"/>
  <c r="X20" s="1"/>
  <c r="Y16"/>
  <c r="Y20" s="1"/>
  <c r="T17" l="1"/>
  <c r="T21" s="1"/>
  <c r="F17"/>
  <c r="F21" s="1"/>
  <c r="O16"/>
  <c r="O20" s="1"/>
  <c r="U16"/>
  <c r="U20" s="1"/>
  <c r="Q16"/>
  <c r="Q20" s="1"/>
  <c r="L16"/>
  <c r="L20" s="1"/>
  <c r="G16"/>
  <c r="G20" s="1"/>
  <c r="F16"/>
  <c r="F20" s="1"/>
  <c r="V16"/>
  <c r="V20" s="1"/>
  <c r="R16"/>
  <c r="R20" s="1"/>
  <c r="M16"/>
  <c r="M20" s="1"/>
  <c r="H16"/>
  <c r="H20" s="1"/>
  <c r="R17"/>
  <c r="R21" s="1"/>
  <c r="O17"/>
  <c r="O21" s="1"/>
  <c r="J17"/>
  <c r="J21" s="1"/>
  <c r="V17"/>
  <c r="V21" s="1"/>
  <c r="L17"/>
  <c r="L21" s="1"/>
  <c r="X17"/>
  <c r="X21" s="1"/>
  <c r="P17"/>
  <c r="P21" s="1"/>
  <c r="Y17"/>
  <c r="Y21" s="1"/>
  <c r="U17"/>
  <c r="U21" s="1"/>
  <c r="Q17"/>
  <c r="Q21" s="1"/>
  <c r="K17"/>
  <c r="K21" s="1"/>
  <c r="W17"/>
  <c r="W21" s="1"/>
  <c r="S17"/>
  <c r="S21" s="1"/>
  <c r="N17"/>
  <c r="N21" s="1"/>
  <c r="M17"/>
  <c r="M21" s="1"/>
  <c r="I17"/>
  <c r="I21" s="1"/>
  <c r="G17"/>
  <c r="G21" s="1"/>
  <c r="F22"/>
  <c r="F23" l="1"/>
</calcChain>
</file>

<file path=xl/sharedStrings.xml><?xml version="1.0" encoding="utf-8"?>
<sst xmlns="http://schemas.openxmlformats.org/spreadsheetml/2006/main" count="48" uniqueCount="48">
  <si>
    <t>A</t>
    <phoneticPr fontId="2" type="noConversion"/>
  </si>
  <si>
    <t>B</t>
    <phoneticPr fontId="2" type="noConversion"/>
  </si>
  <si>
    <t>C</t>
    <phoneticPr fontId="2" type="noConversion"/>
  </si>
  <si>
    <t>maybe not take him to dog park stupid</t>
  </si>
  <si>
    <t>D</t>
    <phoneticPr fontId="2" type="noConversion"/>
  </si>
  <si>
    <t>you are a dog</t>
    <phoneticPr fontId="2" type="noConversion"/>
  </si>
  <si>
    <t>I am a boy</t>
    <phoneticPr fontId="2" type="noConversion"/>
  </si>
  <si>
    <t>문장</t>
    <phoneticPr fontId="2" type="noConversion"/>
  </si>
  <si>
    <t>구분</t>
    <phoneticPr fontId="2" type="noConversion"/>
  </si>
  <si>
    <t>You are a stupid dog</t>
    <phoneticPr fontId="2" type="noConversion"/>
  </si>
  <si>
    <t>?</t>
    <phoneticPr fontId="2" type="noConversion"/>
  </si>
  <si>
    <t>a</t>
    <phoneticPr fontId="2" type="noConversion"/>
  </si>
  <si>
    <t>am</t>
    <phoneticPr fontId="2" type="noConversion"/>
  </si>
  <si>
    <t>are</t>
    <phoneticPr fontId="2" type="noConversion"/>
  </si>
  <si>
    <t>boy</t>
    <phoneticPr fontId="2" type="noConversion"/>
  </si>
  <si>
    <t>cute</t>
    <phoneticPr fontId="2" type="noConversion"/>
  </si>
  <si>
    <t>dalmation</t>
    <phoneticPr fontId="2" type="noConversion"/>
  </si>
  <si>
    <t>dog</t>
    <phoneticPr fontId="2" type="noConversion"/>
  </si>
  <si>
    <t>him</t>
    <phoneticPr fontId="2" type="noConversion"/>
  </si>
  <si>
    <t>is</t>
    <phoneticPr fontId="2" type="noConversion"/>
  </si>
  <si>
    <t>love</t>
    <phoneticPr fontId="2" type="noConversion"/>
  </si>
  <si>
    <t>maybe</t>
    <phoneticPr fontId="2" type="noConversion"/>
  </si>
  <si>
    <t>my</t>
    <phoneticPr fontId="2" type="noConversion"/>
  </si>
  <si>
    <t>not</t>
    <phoneticPr fontId="2" type="noConversion"/>
  </si>
  <si>
    <t>park</t>
    <phoneticPr fontId="2" type="noConversion"/>
  </si>
  <si>
    <t>so</t>
    <phoneticPr fontId="2" type="noConversion"/>
  </si>
  <si>
    <t>stupid</t>
    <phoneticPr fontId="2" type="noConversion"/>
  </si>
  <si>
    <t>take</t>
    <phoneticPr fontId="2" type="noConversion"/>
  </si>
  <si>
    <t>to</t>
    <phoneticPr fontId="2" type="noConversion"/>
  </si>
  <si>
    <t>you</t>
    <phoneticPr fontId="2" type="noConversion"/>
  </si>
  <si>
    <t>욕1아니면0</t>
    <phoneticPr fontId="2" type="noConversion"/>
  </si>
  <si>
    <t>my dalmation is so cute I love him</t>
    <phoneticPr fontId="2" type="noConversion"/>
  </si>
  <si>
    <t>Z</t>
    <phoneticPr fontId="2" type="noConversion"/>
  </si>
  <si>
    <t>i</t>
    <phoneticPr fontId="2" type="noConversion"/>
  </si>
  <si>
    <t>욕 필터링</t>
    <phoneticPr fontId="2" type="noConversion"/>
  </si>
  <si>
    <t>badAllCount(욕일때 단어 총 등장 횟수)</t>
    <phoneticPr fontId="2" type="noConversion"/>
  </si>
  <si>
    <t>goodAllCount(욕이 아닐때 단어 총 등장 횟수)</t>
    <phoneticPr fontId="2" type="noConversion"/>
  </si>
  <si>
    <t>badCount(욕일때 그 단어 등장 횟수)</t>
    <phoneticPr fontId="2" type="noConversion"/>
  </si>
  <si>
    <t>goodCount(욕이 아닐때 그 단어 총 등장 횟수)</t>
    <phoneticPr fontId="2" type="noConversion"/>
  </si>
  <si>
    <t>pBad(그 단어 떄문에 욕일 확률)</t>
    <phoneticPr fontId="2" type="noConversion"/>
  </si>
  <si>
    <t>pGood(그 단어 때문에 욕이 아닐 확률)</t>
    <phoneticPr fontId="2" type="noConversion"/>
  </si>
  <si>
    <t>그 단어가 나왔을때 욕일 확률</t>
    <phoneticPr fontId="2" type="noConversion"/>
  </si>
  <si>
    <t>그 단어가 나왔을때 욕이 아닐 확률</t>
    <phoneticPr fontId="2" type="noConversion"/>
  </si>
  <si>
    <t>Z는 욕일 확률</t>
    <phoneticPr fontId="2" type="noConversion"/>
  </si>
  <si>
    <t>Z는 욕이 아닐 확률</t>
    <phoneticPr fontId="2" type="noConversion"/>
  </si>
  <si>
    <t>Z는 욕</t>
    <phoneticPr fontId="2" type="noConversion"/>
  </si>
  <si>
    <t>문장</t>
    <phoneticPr fontId="2" type="noConversion"/>
  </si>
  <si>
    <t>전체 단어들</t>
    <phoneticPr fontId="2" type="noConversion"/>
  </si>
</sst>
</file>

<file path=xl/styles.xml><?xml version="1.0" encoding="utf-8"?>
<styleSheet xmlns="http://schemas.openxmlformats.org/spreadsheetml/2006/main">
  <numFmts count="2">
    <numFmt numFmtId="176" formatCode="0_ "/>
    <numFmt numFmtId="177" formatCode="0.00_ "/>
  </numFmts>
  <fonts count="8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>
      <alignment vertical="center"/>
    </xf>
    <xf numFmtId="177" fontId="0" fillId="0" borderId="0" xfId="0" applyNumberFormat="1">
      <alignment vertical="center"/>
    </xf>
    <xf numFmtId="0" fontId="6" fillId="0" borderId="0" xfId="0" applyFont="1" applyFill="1" applyAlignment="1">
      <alignment vertical="center"/>
    </xf>
    <xf numFmtId="0" fontId="0" fillId="4" borderId="0" xfId="0" applyFill="1">
      <alignment vertical="center"/>
    </xf>
    <xf numFmtId="0" fontId="1" fillId="4" borderId="0" xfId="0" applyFont="1" applyFill="1" applyAlignment="1">
      <alignment horizontal="right" vertical="center"/>
    </xf>
    <xf numFmtId="0" fontId="5" fillId="4" borderId="3" xfId="0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177" fontId="0" fillId="4" borderId="4" xfId="0" applyNumberFormat="1" applyFill="1" applyBorder="1">
      <alignment vertical="center"/>
    </xf>
    <xf numFmtId="177" fontId="0" fillId="4" borderId="5" xfId="0" applyNumberFormat="1" applyFill="1" applyBorder="1">
      <alignment vertical="center"/>
    </xf>
    <xf numFmtId="177" fontId="0" fillId="4" borderId="1" xfId="0" applyNumberFormat="1" applyFill="1" applyBorder="1">
      <alignment vertical="center"/>
    </xf>
    <xf numFmtId="177" fontId="0" fillId="2" borderId="4" xfId="0" applyNumberFormat="1" applyFill="1" applyBorder="1">
      <alignment vertical="center"/>
    </xf>
    <xf numFmtId="177" fontId="0" fillId="2" borderId="5" xfId="0" applyNumberFormat="1" applyFill="1" applyBorder="1">
      <alignment vertical="center"/>
    </xf>
    <xf numFmtId="177" fontId="0" fillId="2" borderId="1" xfId="0" applyNumberFormat="1" applyFill="1" applyBorder="1">
      <alignment vertical="center"/>
    </xf>
    <xf numFmtId="176" fontId="0" fillId="4" borderId="4" xfId="0" applyNumberFormat="1" applyFill="1" applyBorder="1">
      <alignment vertical="center"/>
    </xf>
    <xf numFmtId="176" fontId="0" fillId="4" borderId="5" xfId="0" applyNumberFormat="1" applyFill="1" applyBorder="1">
      <alignment vertical="center"/>
    </xf>
    <xf numFmtId="176" fontId="0" fillId="4" borderId="1" xfId="0" applyNumberFormat="1" applyFill="1" applyBorder="1">
      <alignment vertical="center"/>
    </xf>
    <xf numFmtId="176" fontId="0" fillId="2" borderId="4" xfId="0" applyNumberFormat="1" applyFill="1" applyBorder="1">
      <alignment vertical="center"/>
    </xf>
    <xf numFmtId="176" fontId="0" fillId="2" borderId="5" xfId="0" applyNumberFormat="1" applyFill="1" applyBorder="1">
      <alignment vertical="center"/>
    </xf>
    <xf numFmtId="176" fontId="0" fillId="2" borderId="1" xfId="0" applyNumberFormat="1" applyFill="1" applyBorder="1">
      <alignment vertical="center"/>
    </xf>
    <xf numFmtId="177" fontId="0" fillId="2" borderId="3" xfId="0" applyNumberFormat="1" applyFill="1" applyBorder="1">
      <alignment vertical="center"/>
    </xf>
    <xf numFmtId="177" fontId="0" fillId="4" borderId="3" xfId="0" applyNumberFormat="1" applyFill="1" applyBorder="1">
      <alignment vertical="center"/>
    </xf>
    <xf numFmtId="0" fontId="7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</cellXfs>
  <cellStyles count="1">
    <cellStyle name="표준" xfId="0" builtinId="0"/>
  </cellStyles>
  <dxfs count="1">
    <dxf>
      <font>
        <strike val="0"/>
        <outline val="0"/>
        <shadow val="0"/>
        <u val="none"/>
        <vertAlign val="baseline"/>
        <sz val="11"/>
        <color rgb="FFFF0000"/>
        <name val="맑은 고딕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표1" displayName="표1" ref="B5:D9" totalsRowShown="0">
  <autoFilter ref="B5:D9"/>
  <tableColumns count="3">
    <tableColumn id="1" name="구분"/>
    <tableColumn id="2" name="문장"/>
    <tableColumn id="3" name="욕1아니면0" dataDxfId="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2" name="표2" displayName="표2" ref="F5:Y9" totalsRowShown="0">
  <autoFilter ref="F5:Y9">
    <filterColumn colId="8"/>
  </autoFilter>
  <tableColumns count="20">
    <tableColumn id="2" name="a"/>
    <tableColumn id="3" name="am"/>
    <tableColumn id="4" name="are"/>
    <tableColumn id="5" name="boy"/>
    <tableColumn id="6" name="cute"/>
    <tableColumn id="7" name="dalmation"/>
    <tableColumn id="8" name="dog"/>
    <tableColumn id="9" name="him"/>
    <tableColumn id="21" name="i"/>
    <tableColumn id="10" name="is"/>
    <tableColumn id="11" name="love"/>
    <tableColumn id="12" name="maybe"/>
    <tableColumn id="13" name="my"/>
    <tableColumn id="14" name="not"/>
    <tableColumn id="15" name="park"/>
    <tableColumn id="16" name="so"/>
    <tableColumn id="17" name="stupid"/>
    <tableColumn id="18" name="take"/>
    <tableColumn id="19" name="to"/>
    <tableColumn id="20" name="you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Y24"/>
  <sheetViews>
    <sheetView showGridLines="0" tabSelected="1" workbookViewId="0">
      <selection activeCell="M26" sqref="M26"/>
    </sheetView>
  </sheetViews>
  <sheetFormatPr defaultRowHeight="16.5"/>
  <cols>
    <col min="1" max="1" width="1.625" customWidth="1"/>
    <col min="2" max="2" width="7.5" bestFit="1" customWidth="1"/>
    <col min="3" max="3" width="38.25" bestFit="1" customWidth="1"/>
    <col min="4" max="4" width="13.625" bestFit="1" customWidth="1"/>
    <col min="5" max="5" width="2" customWidth="1"/>
    <col min="6" max="6" width="5.5" bestFit="1" customWidth="1"/>
    <col min="7" max="8" width="6.5" bestFit="1" customWidth="1"/>
    <col min="9" max="9" width="7" bestFit="1" customWidth="1"/>
    <col min="10" max="10" width="7.5" bestFit="1" customWidth="1"/>
    <col min="11" max="11" width="12.625" bestFit="1" customWidth="1"/>
    <col min="12" max="13" width="7.125" bestFit="1" customWidth="1"/>
    <col min="14" max="15" width="5.5" bestFit="1" customWidth="1"/>
    <col min="16" max="16" width="7.375" bestFit="1" customWidth="1"/>
    <col min="17" max="17" width="9.625" bestFit="1" customWidth="1"/>
    <col min="18" max="18" width="6.5" bestFit="1" customWidth="1"/>
    <col min="19" max="19" width="6.75" bestFit="1" customWidth="1"/>
    <col min="20" max="20" width="7.625" bestFit="1" customWidth="1"/>
    <col min="21" max="21" width="5.75" bestFit="1" customWidth="1"/>
    <col min="22" max="22" width="9.25" bestFit="1" customWidth="1"/>
    <col min="23" max="23" width="7.5" bestFit="1" customWidth="1"/>
    <col min="24" max="24" width="5.625" bestFit="1" customWidth="1"/>
    <col min="25" max="25" width="7" bestFit="1" customWidth="1"/>
    <col min="26" max="26" width="2.125" customWidth="1"/>
  </cols>
  <sheetData>
    <row r="2" spans="2:25" ht="20.25">
      <c r="B2" s="26" t="s">
        <v>34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</row>
    <row r="3" spans="2:25" ht="10.5" customHeight="1"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</row>
    <row r="4" spans="2:25">
      <c r="B4" s="27" t="s">
        <v>46</v>
      </c>
      <c r="C4" s="28"/>
      <c r="D4" s="29"/>
      <c r="F4" s="27" t="s">
        <v>47</v>
      </c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9"/>
    </row>
    <row r="5" spans="2:25">
      <c r="B5" t="s">
        <v>8</v>
      </c>
      <c r="C5" t="s">
        <v>7</v>
      </c>
      <c r="D5" s="1" t="s">
        <v>30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33</v>
      </c>
      <c r="O5" t="s">
        <v>19</v>
      </c>
      <c r="P5" t="s">
        <v>20</v>
      </c>
      <c r="Q5" t="s">
        <v>21</v>
      </c>
      <c r="R5" t="s">
        <v>22</v>
      </c>
      <c r="S5" t="s">
        <v>23</v>
      </c>
      <c r="T5" t="s">
        <v>24</v>
      </c>
      <c r="U5" t="s">
        <v>25</v>
      </c>
      <c r="V5" t="s">
        <v>26</v>
      </c>
      <c r="W5" t="s">
        <v>27</v>
      </c>
      <c r="X5" t="s">
        <v>28</v>
      </c>
      <c r="Y5" t="s">
        <v>29</v>
      </c>
    </row>
    <row r="6" spans="2:25">
      <c r="B6" t="s">
        <v>0</v>
      </c>
      <c r="C6" t="s">
        <v>5</v>
      </c>
      <c r="D6" s="3">
        <v>1</v>
      </c>
      <c r="F6">
        <v>1</v>
      </c>
      <c r="H6">
        <v>1</v>
      </c>
      <c r="L6">
        <v>1</v>
      </c>
      <c r="Y6">
        <v>1</v>
      </c>
    </row>
    <row r="7" spans="2:25">
      <c r="B7" t="s">
        <v>1</v>
      </c>
      <c r="C7" t="s">
        <v>3</v>
      </c>
      <c r="D7" s="3">
        <v>1</v>
      </c>
      <c r="L7">
        <v>1</v>
      </c>
      <c r="M7">
        <v>1</v>
      </c>
      <c r="Q7">
        <v>1</v>
      </c>
      <c r="S7">
        <v>1</v>
      </c>
      <c r="T7">
        <v>1</v>
      </c>
      <c r="V7">
        <v>1</v>
      </c>
      <c r="W7">
        <v>1</v>
      </c>
      <c r="X7">
        <v>1</v>
      </c>
    </row>
    <row r="8" spans="2:25">
      <c r="B8" t="s">
        <v>2</v>
      </c>
      <c r="C8" t="s">
        <v>31</v>
      </c>
      <c r="D8" s="3">
        <v>0</v>
      </c>
      <c r="J8">
        <v>1</v>
      </c>
      <c r="K8">
        <v>1</v>
      </c>
      <c r="M8">
        <v>1</v>
      </c>
      <c r="N8">
        <v>1</v>
      </c>
      <c r="O8">
        <v>1</v>
      </c>
      <c r="P8">
        <v>1</v>
      </c>
      <c r="R8">
        <v>1</v>
      </c>
      <c r="U8">
        <v>1</v>
      </c>
    </row>
    <row r="9" spans="2:25">
      <c r="B9" t="s">
        <v>4</v>
      </c>
      <c r="C9" t="s">
        <v>6</v>
      </c>
      <c r="D9" s="3">
        <v>0</v>
      </c>
      <c r="F9">
        <v>1</v>
      </c>
      <c r="G9">
        <v>1</v>
      </c>
      <c r="I9">
        <v>1</v>
      </c>
      <c r="N9">
        <v>1</v>
      </c>
    </row>
    <row r="11" spans="2:25">
      <c r="B11" s="2"/>
      <c r="C11" s="2"/>
      <c r="D11" s="2"/>
      <c r="E11" s="2"/>
    </row>
    <row r="12" spans="2:25">
      <c r="B12" s="30" t="s">
        <v>35</v>
      </c>
      <c r="C12" s="30"/>
      <c r="D12" s="8">
        <f>SUM(F6:Y7)</f>
        <v>12</v>
      </c>
      <c r="E12" s="5"/>
    </row>
    <row r="13" spans="2:25">
      <c r="B13" s="30" t="s">
        <v>36</v>
      </c>
      <c r="C13" s="30"/>
      <c r="D13" s="9">
        <f>SUM(F8:Y9)</f>
        <v>12</v>
      </c>
      <c r="E13" s="5"/>
    </row>
    <row r="14" spans="2:25">
      <c r="B14" s="30" t="s">
        <v>37</v>
      </c>
      <c r="C14" s="30"/>
      <c r="D14" s="30"/>
      <c r="E14" s="30"/>
      <c r="F14" s="16">
        <f>SUM(F6:F7)</f>
        <v>1</v>
      </c>
      <c r="G14" s="17">
        <f t="shared" ref="G14:Y14" si="0">SUM(G6:G7)</f>
        <v>0</v>
      </c>
      <c r="H14" s="17">
        <f t="shared" si="0"/>
        <v>1</v>
      </c>
      <c r="I14" s="17">
        <f t="shared" si="0"/>
        <v>0</v>
      </c>
      <c r="J14" s="17">
        <f t="shared" si="0"/>
        <v>0</v>
      </c>
      <c r="K14" s="17">
        <f t="shared" si="0"/>
        <v>0</v>
      </c>
      <c r="L14" s="17">
        <f t="shared" si="0"/>
        <v>2</v>
      </c>
      <c r="M14" s="17">
        <f t="shared" si="0"/>
        <v>1</v>
      </c>
      <c r="N14" s="17">
        <f t="shared" si="0"/>
        <v>0</v>
      </c>
      <c r="O14" s="17">
        <f t="shared" si="0"/>
        <v>0</v>
      </c>
      <c r="P14" s="17">
        <f t="shared" si="0"/>
        <v>0</v>
      </c>
      <c r="Q14" s="17">
        <f t="shared" si="0"/>
        <v>1</v>
      </c>
      <c r="R14" s="17">
        <f t="shared" si="0"/>
        <v>0</v>
      </c>
      <c r="S14" s="17">
        <f t="shared" si="0"/>
        <v>1</v>
      </c>
      <c r="T14" s="17">
        <f t="shared" si="0"/>
        <v>1</v>
      </c>
      <c r="U14" s="17">
        <f t="shared" si="0"/>
        <v>0</v>
      </c>
      <c r="V14" s="17">
        <f t="shared" si="0"/>
        <v>1</v>
      </c>
      <c r="W14" s="17">
        <f t="shared" si="0"/>
        <v>1</v>
      </c>
      <c r="X14" s="17">
        <f t="shared" si="0"/>
        <v>1</v>
      </c>
      <c r="Y14" s="18">
        <f t="shared" si="0"/>
        <v>1</v>
      </c>
    </row>
    <row r="15" spans="2:25">
      <c r="B15" s="30" t="s">
        <v>38</v>
      </c>
      <c r="C15" s="30"/>
      <c r="D15" s="30"/>
      <c r="E15" s="30"/>
      <c r="F15" s="19">
        <f>SUM(F8:F9)</f>
        <v>1</v>
      </c>
      <c r="G15" s="20">
        <f t="shared" ref="G15:Y15" si="1">SUM(G8:G9)</f>
        <v>1</v>
      </c>
      <c r="H15" s="20">
        <f t="shared" si="1"/>
        <v>0</v>
      </c>
      <c r="I15" s="20">
        <f t="shared" si="1"/>
        <v>1</v>
      </c>
      <c r="J15" s="20">
        <f t="shared" si="1"/>
        <v>1</v>
      </c>
      <c r="K15" s="20">
        <f t="shared" si="1"/>
        <v>1</v>
      </c>
      <c r="L15" s="20">
        <f t="shared" si="1"/>
        <v>0</v>
      </c>
      <c r="M15" s="20">
        <f t="shared" si="1"/>
        <v>1</v>
      </c>
      <c r="N15" s="20">
        <f t="shared" si="1"/>
        <v>2</v>
      </c>
      <c r="O15" s="20">
        <f t="shared" si="1"/>
        <v>1</v>
      </c>
      <c r="P15" s="20">
        <f t="shared" si="1"/>
        <v>1</v>
      </c>
      <c r="Q15" s="20">
        <f t="shared" si="1"/>
        <v>0</v>
      </c>
      <c r="R15" s="20">
        <f t="shared" si="1"/>
        <v>1</v>
      </c>
      <c r="S15" s="20">
        <f t="shared" si="1"/>
        <v>0</v>
      </c>
      <c r="T15" s="20">
        <f t="shared" si="1"/>
        <v>0</v>
      </c>
      <c r="U15" s="20">
        <f t="shared" si="1"/>
        <v>1</v>
      </c>
      <c r="V15" s="20">
        <f t="shared" si="1"/>
        <v>0</v>
      </c>
      <c r="W15" s="20">
        <f t="shared" si="1"/>
        <v>0</v>
      </c>
      <c r="X15" s="20">
        <f t="shared" si="1"/>
        <v>0</v>
      </c>
      <c r="Y15" s="21">
        <f t="shared" si="1"/>
        <v>0</v>
      </c>
    </row>
    <row r="16" spans="2:25">
      <c r="B16" s="30" t="s">
        <v>39</v>
      </c>
      <c r="C16" s="30"/>
      <c r="D16" s="30"/>
      <c r="E16" s="30"/>
      <c r="F16" s="10">
        <f t="shared" ref="F16:Y16" si="2">F14/$D$12</f>
        <v>8.3333333333333329E-2</v>
      </c>
      <c r="G16" s="11">
        <f t="shared" si="2"/>
        <v>0</v>
      </c>
      <c r="H16" s="11">
        <f t="shared" si="2"/>
        <v>8.3333333333333329E-2</v>
      </c>
      <c r="I16" s="11">
        <f t="shared" si="2"/>
        <v>0</v>
      </c>
      <c r="J16" s="11">
        <f t="shared" si="2"/>
        <v>0</v>
      </c>
      <c r="K16" s="11">
        <f t="shared" si="2"/>
        <v>0</v>
      </c>
      <c r="L16" s="11">
        <f t="shared" si="2"/>
        <v>0.16666666666666666</v>
      </c>
      <c r="M16" s="11">
        <f t="shared" si="2"/>
        <v>8.3333333333333329E-2</v>
      </c>
      <c r="N16" s="11">
        <f t="shared" si="2"/>
        <v>0</v>
      </c>
      <c r="O16" s="11">
        <f t="shared" si="2"/>
        <v>0</v>
      </c>
      <c r="P16" s="11">
        <f t="shared" si="2"/>
        <v>0</v>
      </c>
      <c r="Q16" s="11">
        <f t="shared" si="2"/>
        <v>8.3333333333333329E-2</v>
      </c>
      <c r="R16" s="11">
        <f t="shared" si="2"/>
        <v>0</v>
      </c>
      <c r="S16" s="11">
        <f t="shared" si="2"/>
        <v>8.3333333333333329E-2</v>
      </c>
      <c r="T16" s="11">
        <f t="shared" si="2"/>
        <v>8.3333333333333329E-2</v>
      </c>
      <c r="U16" s="11">
        <f t="shared" si="2"/>
        <v>0</v>
      </c>
      <c r="V16" s="11">
        <f t="shared" si="2"/>
        <v>8.3333333333333329E-2</v>
      </c>
      <c r="W16" s="11">
        <f t="shared" si="2"/>
        <v>8.3333333333333329E-2</v>
      </c>
      <c r="X16" s="11">
        <f t="shared" si="2"/>
        <v>8.3333333333333329E-2</v>
      </c>
      <c r="Y16" s="12">
        <f t="shared" si="2"/>
        <v>8.3333333333333329E-2</v>
      </c>
    </row>
    <row r="17" spans="2:25">
      <c r="B17" s="30" t="s">
        <v>40</v>
      </c>
      <c r="C17" s="30"/>
      <c r="D17" s="30"/>
      <c r="E17" s="30"/>
      <c r="F17" s="13">
        <f t="shared" ref="F17:Y17" si="3">F15/$D$13</f>
        <v>8.3333333333333329E-2</v>
      </c>
      <c r="G17" s="14">
        <f t="shared" si="3"/>
        <v>8.3333333333333329E-2</v>
      </c>
      <c r="H17" s="14">
        <f t="shared" si="3"/>
        <v>0</v>
      </c>
      <c r="I17" s="14">
        <f t="shared" si="3"/>
        <v>8.3333333333333329E-2</v>
      </c>
      <c r="J17" s="14">
        <f t="shared" si="3"/>
        <v>8.3333333333333329E-2</v>
      </c>
      <c r="K17" s="14">
        <f t="shared" si="3"/>
        <v>8.3333333333333329E-2</v>
      </c>
      <c r="L17" s="14">
        <f t="shared" si="3"/>
        <v>0</v>
      </c>
      <c r="M17" s="14">
        <f t="shared" si="3"/>
        <v>8.3333333333333329E-2</v>
      </c>
      <c r="N17" s="14">
        <f t="shared" si="3"/>
        <v>0.16666666666666666</v>
      </c>
      <c r="O17" s="14">
        <f t="shared" si="3"/>
        <v>8.3333333333333329E-2</v>
      </c>
      <c r="P17" s="14">
        <f t="shared" si="3"/>
        <v>8.3333333333333329E-2</v>
      </c>
      <c r="Q17" s="14">
        <f t="shared" si="3"/>
        <v>0</v>
      </c>
      <c r="R17" s="14">
        <f t="shared" si="3"/>
        <v>8.3333333333333329E-2</v>
      </c>
      <c r="S17" s="14">
        <f t="shared" si="3"/>
        <v>0</v>
      </c>
      <c r="T17" s="14">
        <f t="shared" si="3"/>
        <v>0</v>
      </c>
      <c r="U17" s="14">
        <f t="shared" si="3"/>
        <v>8.3333333333333329E-2</v>
      </c>
      <c r="V17" s="14">
        <f t="shared" si="3"/>
        <v>0</v>
      </c>
      <c r="W17" s="14">
        <f t="shared" si="3"/>
        <v>0</v>
      </c>
      <c r="X17" s="14">
        <f t="shared" si="3"/>
        <v>0</v>
      </c>
      <c r="Y17" s="15">
        <f t="shared" si="3"/>
        <v>0</v>
      </c>
    </row>
    <row r="18" spans="2:25"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2:25">
      <c r="B19" s="6" t="s">
        <v>32</v>
      </c>
      <c r="C19" s="6" t="s">
        <v>9</v>
      </c>
      <c r="D19" s="7" t="s">
        <v>10</v>
      </c>
      <c r="F19" s="16">
        <v>1</v>
      </c>
      <c r="G19" s="17">
        <v>0</v>
      </c>
      <c r="H19" s="17">
        <v>1</v>
      </c>
      <c r="I19" s="17">
        <v>0</v>
      </c>
      <c r="J19" s="17">
        <v>0</v>
      </c>
      <c r="K19" s="17">
        <v>0</v>
      </c>
      <c r="L19" s="17">
        <v>1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1</v>
      </c>
      <c r="W19" s="17">
        <v>0</v>
      </c>
      <c r="X19" s="17">
        <v>0</v>
      </c>
      <c r="Y19" s="18">
        <v>1</v>
      </c>
    </row>
    <row r="20" spans="2:25">
      <c r="B20" s="30" t="s">
        <v>41</v>
      </c>
      <c r="C20" s="30"/>
      <c r="D20" s="30"/>
      <c r="E20" s="30"/>
      <c r="F20" s="13">
        <f>F19*F16</f>
        <v>8.3333333333333329E-2</v>
      </c>
      <c r="G20" s="14">
        <f t="shared" ref="G20:Y20" si="4">G19*G16</f>
        <v>0</v>
      </c>
      <c r="H20" s="14">
        <f t="shared" si="4"/>
        <v>8.3333333333333329E-2</v>
      </c>
      <c r="I20" s="14">
        <f t="shared" si="4"/>
        <v>0</v>
      </c>
      <c r="J20" s="14">
        <f t="shared" si="4"/>
        <v>0</v>
      </c>
      <c r="K20" s="14">
        <f t="shared" si="4"/>
        <v>0</v>
      </c>
      <c r="L20" s="14">
        <f t="shared" si="4"/>
        <v>0.16666666666666666</v>
      </c>
      <c r="M20" s="14">
        <f t="shared" si="4"/>
        <v>0</v>
      </c>
      <c r="N20" s="14">
        <f t="shared" si="4"/>
        <v>0</v>
      </c>
      <c r="O20" s="14">
        <f t="shared" si="4"/>
        <v>0</v>
      </c>
      <c r="P20" s="14">
        <f t="shared" si="4"/>
        <v>0</v>
      </c>
      <c r="Q20" s="14">
        <f t="shared" si="4"/>
        <v>0</v>
      </c>
      <c r="R20" s="14">
        <f t="shared" si="4"/>
        <v>0</v>
      </c>
      <c r="S20" s="14">
        <f t="shared" si="4"/>
        <v>0</v>
      </c>
      <c r="T20" s="14">
        <f t="shared" si="4"/>
        <v>0</v>
      </c>
      <c r="U20" s="14">
        <f t="shared" si="4"/>
        <v>0</v>
      </c>
      <c r="V20" s="14">
        <f t="shared" si="4"/>
        <v>8.3333333333333329E-2</v>
      </c>
      <c r="W20" s="14">
        <f t="shared" si="4"/>
        <v>0</v>
      </c>
      <c r="X20" s="14">
        <f t="shared" si="4"/>
        <v>0</v>
      </c>
      <c r="Y20" s="15">
        <f t="shared" si="4"/>
        <v>8.3333333333333329E-2</v>
      </c>
    </row>
    <row r="21" spans="2:25">
      <c r="B21" s="30" t="s">
        <v>42</v>
      </c>
      <c r="C21" s="30"/>
      <c r="D21" s="30"/>
      <c r="E21" s="30"/>
      <c r="F21" s="10">
        <f>F19*F17</f>
        <v>8.3333333333333329E-2</v>
      </c>
      <c r="G21" s="11">
        <f t="shared" ref="G21:Y21" si="5">G19*G17</f>
        <v>0</v>
      </c>
      <c r="H21" s="11">
        <f t="shared" si="5"/>
        <v>0</v>
      </c>
      <c r="I21" s="11">
        <f t="shared" si="5"/>
        <v>0</v>
      </c>
      <c r="J21" s="11">
        <f t="shared" si="5"/>
        <v>0</v>
      </c>
      <c r="K21" s="11">
        <f t="shared" si="5"/>
        <v>0</v>
      </c>
      <c r="L21" s="11">
        <f t="shared" si="5"/>
        <v>0</v>
      </c>
      <c r="M21" s="11">
        <f t="shared" si="5"/>
        <v>0</v>
      </c>
      <c r="N21" s="11">
        <f t="shared" si="5"/>
        <v>0</v>
      </c>
      <c r="O21" s="11">
        <f t="shared" si="5"/>
        <v>0</v>
      </c>
      <c r="P21" s="11">
        <f t="shared" si="5"/>
        <v>0</v>
      </c>
      <c r="Q21" s="11">
        <f t="shared" si="5"/>
        <v>0</v>
      </c>
      <c r="R21" s="11">
        <f t="shared" si="5"/>
        <v>0</v>
      </c>
      <c r="S21" s="11">
        <f t="shared" si="5"/>
        <v>0</v>
      </c>
      <c r="T21" s="11">
        <f t="shared" si="5"/>
        <v>0</v>
      </c>
      <c r="U21" s="11">
        <f t="shared" si="5"/>
        <v>0</v>
      </c>
      <c r="V21" s="11">
        <f t="shared" si="5"/>
        <v>0</v>
      </c>
      <c r="W21" s="11">
        <f t="shared" si="5"/>
        <v>0</v>
      </c>
      <c r="X21" s="11">
        <f t="shared" si="5"/>
        <v>0</v>
      </c>
      <c r="Y21" s="12">
        <f t="shared" si="5"/>
        <v>0</v>
      </c>
    </row>
    <row r="22" spans="2:25">
      <c r="B22" s="30" t="s">
        <v>43</v>
      </c>
      <c r="C22" s="30"/>
      <c r="D22" s="30"/>
      <c r="E22" s="30"/>
      <c r="F22" s="22">
        <f>SUM(F20:Y20)</f>
        <v>0.49999999999999994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2:25">
      <c r="B23" s="30" t="s">
        <v>44</v>
      </c>
      <c r="C23" s="30"/>
      <c r="D23" s="30"/>
      <c r="E23" s="30"/>
      <c r="F23" s="23">
        <f>SUM(F21:Y21)</f>
        <v>8.3333333333333329E-2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2:25">
      <c r="B24" s="24" t="s">
        <v>45</v>
      </c>
    </row>
  </sheetData>
  <mergeCells count="13">
    <mergeCell ref="B2:Y2"/>
    <mergeCell ref="F4:Y4"/>
    <mergeCell ref="B21:E21"/>
    <mergeCell ref="B22:E22"/>
    <mergeCell ref="B23:E23"/>
    <mergeCell ref="B14:E14"/>
    <mergeCell ref="B15:E15"/>
    <mergeCell ref="B16:E16"/>
    <mergeCell ref="B17:E17"/>
    <mergeCell ref="B4:D4"/>
    <mergeCell ref="B12:C12"/>
    <mergeCell ref="B13:C13"/>
    <mergeCell ref="B20:E20"/>
  </mergeCells>
  <phoneticPr fontId="2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욕 필터링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AI</dc:title>
  <dc:creator>권기웅</dc:creator>
  <cp:lastModifiedBy>soldesk1T</cp:lastModifiedBy>
  <dcterms:created xsi:type="dcterms:W3CDTF">2017-07-27T04:52:20Z</dcterms:created>
  <dcterms:modified xsi:type="dcterms:W3CDTF">2018-04-04T02:12:21Z</dcterms:modified>
</cp:coreProperties>
</file>